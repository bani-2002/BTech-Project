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me\4th yr\8th sem items\Project\"/>
    </mc:Choice>
  </mc:AlternateContent>
  <xr:revisionPtr revIDLastSave="0" documentId="13_ncr:1_{3580DDBB-1FDD-4510-ADCC-F581EDF1652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st" sheetId="1" r:id="rId1"/>
    <sheet name="Io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9" i="1" l="1"/>
  <c r="J28" i="1"/>
  <c r="J29" i="1" s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J20" i="1"/>
  <c r="E20" i="1"/>
  <c r="M23" i="1" l="1"/>
  <c r="M26" i="1"/>
  <c r="M27" i="1"/>
  <c r="M28" i="1"/>
  <c r="M24" i="1"/>
  <c r="M22" i="1"/>
  <c r="F20" i="1"/>
  <c r="E21" i="1"/>
  <c r="J25" i="1" l="1"/>
</calcChain>
</file>

<file path=xl/sharedStrings.xml><?xml version="1.0" encoding="utf-8"?>
<sst xmlns="http://schemas.openxmlformats.org/spreadsheetml/2006/main" count="121" uniqueCount="97">
  <si>
    <t>Item Name</t>
  </si>
  <si>
    <t>Price</t>
  </si>
  <si>
    <t>ESP 8266</t>
  </si>
  <si>
    <t>ESP 32</t>
  </si>
  <si>
    <t>DHT 11 Sensor</t>
  </si>
  <si>
    <t>Rain Sensor</t>
  </si>
  <si>
    <t>LDR Sensor</t>
  </si>
  <si>
    <t>.96'' Blue OLED Display Module</t>
  </si>
  <si>
    <t>Battery Holder</t>
  </si>
  <si>
    <t>Breadboard Large</t>
  </si>
  <si>
    <t>Breadboard Small</t>
  </si>
  <si>
    <t>Jump Wire</t>
  </si>
  <si>
    <t>MQ-135 Sensor</t>
  </si>
  <si>
    <t>ESP 32 Expansion Board</t>
  </si>
  <si>
    <t>S</t>
  </si>
  <si>
    <r>
      <t>Li</t>
    </r>
    <r>
      <rPr>
        <i/>
        <vertAlign val="superscript"/>
        <sz val="12"/>
        <color theme="1"/>
        <rFont val="Bookman Old Style"/>
        <family val="1"/>
      </rPr>
      <t xml:space="preserve">+ </t>
    </r>
    <r>
      <rPr>
        <i/>
        <sz val="12"/>
        <color theme="1"/>
        <rFont val="Bookman Old Style"/>
        <family val="1"/>
      </rPr>
      <t>ion Battery</t>
    </r>
  </si>
  <si>
    <t>Others</t>
  </si>
  <si>
    <t>Engineering Analysis &amp; Design</t>
  </si>
  <si>
    <t xml:space="preserve">Computer Science &amp; Engineering </t>
  </si>
  <si>
    <t xml:space="preserve">Machine Intelligence &amp; Data Science </t>
  </si>
  <si>
    <t>Computer Technology</t>
  </si>
  <si>
    <t>Control &amp; Automation</t>
  </si>
  <si>
    <t>Integrated Electronics &amp; Circuits</t>
  </si>
  <si>
    <t>VLSI Tool Design</t>
  </si>
  <si>
    <t>Instrument Technology</t>
  </si>
  <si>
    <t>Thermal Engineering</t>
  </si>
  <si>
    <t xml:space="preserve">Production Engineering </t>
  </si>
  <si>
    <t>Industrial Engineering</t>
  </si>
  <si>
    <t>Mechanical Design</t>
  </si>
  <si>
    <t>CS</t>
  </si>
  <si>
    <t>All</t>
  </si>
  <si>
    <t>Gen</t>
  </si>
  <si>
    <t>Gate Paper</t>
  </si>
  <si>
    <t>CS/IT</t>
  </si>
  <si>
    <t>EC/CS</t>
  </si>
  <si>
    <t>AE/BM/BT/CH/CS/EC/EE/IN/ME</t>
  </si>
  <si>
    <t>EE/ETC/CS</t>
  </si>
  <si>
    <t>IIT Delhi M.Tech 2024-2025</t>
  </si>
  <si>
    <t>7th sem file</t>
  </si>
  <si>
    <t>Cost/5</t>
  </si>
  <si>
    <t>8th sem file</t>
  </si>
  <si>
    <t>Cost/6</t>
  </si>
  <si>
    <t>HTML Web Page</t>
  </si>
  <si>
    <t>DHT</t>
  </si>
  <si>
    <t>LDR</t>
  </si>
  <si>
    <t>Rain</t>
  </si>
  <si>
    <t>AQI</t>
  </si>
  <si>
    <t>Jupyter Notebook (ML Algorithms)</t>
  </si>
  <si>
    <t>Internet Connectivity</t>
  </si>
  <si>
    <t>Temparature</t>
  </si>
  <si>
    <t>Altitude</t>
  </si>
  <si>
    <t>Pressure</t>
  </si>
  <si>
    <t>BMP280 Sensor</t>
  </si>
  <si>
    <t xml:space="preserve">IIT KGP M.Tech </t>
  </si>
  <si>
    <t>Artificial Intelligence</t>
  </si>
  <si>
    <t>Operation Research &amp; Data Analytics</t>
  </si>
  <si>
    <t>IM1</t>
  </si>
  <si>
    <t>Code</t>
  </si>
  <si>
    <t>AI</t>
  </si>
  <si>
    <t>Signal Processing &amp; ML</t>
  </si>
  <si>
    <t>EE5</t>
  </si>
  <si>
    <t>Mode</t>
  </si>
  <si>
    <t>Cyber Physical Systems</t>
  </si>
  <si>
    <t>AT3</t>
  </si>
  <si>
    <t>Interview DA minor</t>
  </si>
  <si>
    <t>Interview CS minor</t>
  </si>
  <si>
    <t>Medical Imaging &amp; Informatics</t>
  </si>
  <si>
    <t>CS minor</t>
  </si>
  <si>
    <t>MM1</t>
  </si>
  <si>
    <t>MM2</t>
  </si>
  <si>
    <t>Biomedical Engineering</t>
  </si>
  <si>
    <t>CS major</t>
  </si>
  <si>
    <t>RE1</t>
  </si>
  <si>
    <t>Tech innovation &amp; Entrepreneurship</t>
  </si>
  <si>
    <t>RJ</t>
  </si>
  <si>
    <t>CS major DA minor</t>
  </si>
  <si>
    <t>Quality &amp; Reliability Engg.</t>
  </si>
  <si>
    <t>OLED Display</t>
  </si>
  <si>
    <t>Arduino Uno R4 Wi-Fi</t>
  </si>
  <si>
    <t>???</t>
  </si>
  <si>
    <t>1.3'' OLED Display Module</t>
  </si>
  <si>
    <t>Breadboard Medium</t>
  </si>
  <si>
    <t>BMP 280 Sensor</t>
  </si>
  <si>
    <t>Upto 7th Sem</t>
  </si>
  <si>
    <t>#people</t>
  </si>
  <si>
    <t>Additional cost</t>
  </si>
  <si>
    <t>Arduino UNO R4 WiFi Module</t>
  </si>
  <si>
    <t>Final year project Price List 1</t>
  </si>
  <si>
    <t>Final year project Price List 2</t>
  </si>
  <si>
    <t>Nayan</t>
  </si>
  <si>
    <t>Sunayani</t>
  </si>
  <si>
    <t>Bani</t>
  </si>
  <si>
    <t>Atul</t>
  </si>
  <si>
    <t>Susmita</t>
  </si>
  <si>
    <t>Mrinmayee</t>
  </si>
  <si>
    <t>DHT11 Sensor</t>
  </si>
  <si>
    <t>MQ135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</si>
</sst>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_ ;_ [$₹-4009]\ * \-#,##0_ ;_ [$₹-4009]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2"/>
      <color rgb="FFFFFF00"/>
      <name val="Bookman Old Style"/>
      <family val="1"/>
    </font>
    <font>
      <b/>
      <sz val="12"/>
      <color rgb="FFFFFF00"/>
      <name val="Symbol"/>
      <family val="1"/>
      <charset val="2"/>
    </font>
    <font>
      <i/>
      <sz val="12"/>
      <color theme="1"/>
      <name val="Bookman Old Style"/>
      <family val="1"/>
    </font>
    <font>
      <i/>
      <vertAlign val="superscript"/>
      <sz val="12"/>
      <color theme="1"/>
      <name val="Bookman Old Style"/>
      <family val="1"/>
    </font>
    <font>
      <b/>
      <i/>
      <sz val="12"/>
      <color rgb="FFFFFF00"/>
      <name val="Bookman Old Style"/>
      <family val="1"/>
    </font>
    <font>
      <i/>
      <sz val="12"/>
      <color rgb="FFFFFF00"/>
      <name val="Bookman Old Style"/>
      <family val="1"/>
    </font>
    <font>
      <b/>
      <i/>
      <sz val="12"/>
      <color theme="1"/>
      <name val="Bookman Old Style"/>
      <family val="1"/>
    </font>
    <font>
      <b/>
      <i/>
      <sz val="11"/>
      <color theme="1"/>
      <name val="Bookman Old Style"/>
      <family val="1"/>
    </font>
    <font>
      <i/>
      <sz val="11"/>
      <color theme="1"/>
      <name val="Bookman Old Style"/>
      <family val="1"/>
    </font>
    <font>
      <i/>
      <sz val="15"/>
      <color theme="1"/>
      <name val="Bookman Old Style"/>
      <family val="1"/>
    </font>
    <font>
      <i/>
      <sz val="14"/>
      <color theme="1"/>
      <name val="Bookman Old Style"/>
      <family val="1"/>
    </font>
    <font>
      <b/>
      <sz val="11"/>
      <color theme="1"/>
      <name val="Bookman Old Style"/>
      <family val="1"/>
    </font>
    <font>
      <b/>
      <i/>
      <sz val="11"/>
      <color rgb="FF92D050"/>
      <name val="Bookman Old Style"/>
      <family val="1"/>
    </font>
    <font>
      <i/>
      <sz val="12"/>
      <color rgb="FFFF0000"/>
      <name val="Bookman Old Style"/>
      <family val="1"/>
    </font>
    <font>
      <i/>
      <sz val="12"/>
      <color theme="7" tint="-0.249977111117893"/>
      <name val="Bookman Old Style"/>
      <family val="1"/>
    </font>
    <font>
      <i/>
      <sz val="12"/>
      <color theme="9" tint="-0.249977111117893"/>
      <name val="Bookman Old Style"/>
      <family val="1"/>
    </font>
    <font>
      <b/>
      <i/>
      <sz val="12"/>
      <color theme="9" tint="-0.249977111117893"/>
      <name val="Bookman Old Style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gradientFill type="path" left="0.5" right="0.5" top="0.5" bottom="0.5">
        <stop position="0">
          <color theme="0"/>
        </stop>
        <stop position="1">
          <color rgb="FFCAF767"/>
        </stop>
      </gradientFill>
    </fill>
    <fill>
      <gradientFill type="path" left="0.5" right="0.5" top="0.5" bottom="0.5">
        <stop position="0">
          <color theme="0"/>
        </stop>
        <stop position="1">
          <color rgb="FFBAF4FC"/>
        </stop>
      </gradientFill>
    </fill>
    <fill>
      <gradientFill type="path" left="0.5" right="0.5" top="0.5" bottom="0.5">
        <stop position="0">
          <color theme="7" tint="0.80001220740379042"/>
        </stop>
        <stop position="1">
          <color theme="9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6" fillId="6" borderId="2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6" fillId="8" borderId="4" xfId="0" applyNumberFormat="1" applyFont="1" applyFill="1" applyBorder="1" applyAlignment="1">
      <alignment horizontal="center" vertical="center"/>
    </xf>
    <xf numFmtId="164" fontId="6" fillId="8" borderId="3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9" fillId="9" borderId="10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3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0" borderId="14" xfId="0" applyBorder="1"/>
    <xf numFmtId="0" fontId="0" fillId="0" borderId="5" xfId="0" applyBorder="1"/>
    <xf numFmtId="0" fontId="4" fillId="5" borderId="1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/>
    </xf>
    <xf numFmtId="0" fontId="14" fillId="11" borderId="11" xfId="0" applyFont="1" applyFill="1" applyBorder="1" applyAlignment="1">
      <alignment horizontal="center" vertical="center"/>
    </xf>
    <xf numFmtId="0" fontId="14" fillId="10" borderId="16" xfId="0" applyFont="1" applyFill="1" applyBorder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6" fillId="8" borderId="21" xfId="0" applyNumberFormat="1" applyFont="1" applyFill="1" applyBorder="1" applyAlignment="1">
      <alignment vertical="center"/>
    </xf>
    <xf numFmtId="164" fontId="6" fillId="8" borderId="20" xfId="0" applyNumberFormat="1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4" fontId="18" fillId="8" borderId="3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1" fillId="0" borderId="22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1" fillId="17" borderId="18" xfId="0" applyFont="1" applyFill="1" applyBorder="1" applyAlignment="1">
      <alignment horizontal="center" vertical="center" wrapText="1"/>
    </xf>
    <xf numFmtId="0" fontId="11" fillId="17" borderId="14" xfId="0" applyFont="1" applyFill="1" applyBorder="1" applyAlignment="1">
      <alignment horizontal="center" vertical="center" wrapText="1"/>
    </xf>
    <xf numFmtId="0" fontId="11" fillId="17" borderId="19" xfId="0" applyFont="1" applyFill="1" applyBorder="1" applyAlignment="1">
      <alignment horizontal="center" vertical="center" wrapText="1"/>
    </xf>
    <xf numFmtId="0" fontId="11" fillId="17" borderId="6" xfId="0" applyFont="1" applyFill="1" applyBorder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11" fillId="17" borderId="4" xfId="0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1" fillId="13" borderId="7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6" borderId="18" xfId="0" applyFont="1" applyFill="1" applyBorder="1" applyAlignment="1">
      <alignment horizontal="center" vertical="center" wrapText="1"/>
    </xf>
    <xf numFmtId="0" fontId="11" fillId="16" borderId="14" xfId="0" applyFont="1" applyFill="1" applyBorder="1" applyAlignment="1">
      <alignment horizontal="center" vertical="center" wrapText="1"/>
    </xf>
    <xf numFmtId="0" fontId="11" fillId="16" borderId="19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 vertical="center" wrapText="1"/>
    </xf>
    <xf numFmtId="0" fontId="11" fillId="16" borderId="4" xfId="0" applyFont="1" applyFill="1" applyBorder="1" applyAlignment="1">
      <alignment horizontal="center"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11" fillId="16" borderId="5" xfId="0" applyFont="1" applyFill="1" applyBorder="1" applyAlignment="1">
      <alignment horizontal="center" vertical="center" wrapText="1"/>
    </xf>
    <xf numFmtId="0" fontId="11" fillId="16" borderId="3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 wrapText="1"/>
    </xf>
    <xf numFmtId="0" fontId="12" fillId="14" borderId="19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1" fillId="15" borderId="18" xfId="0" applyFont="1" applyFill="1" applyBorder="1" applyAlignment="1">
      <alignment horizontal="center" vertical="center" wrapText="1"/>
    </xf>
    <xf numFmtId="0" fontId="11" fillId="15" borderId="14" xfId="0" applyFont="1" applyFill="1" applyBorder="1" applyAlignment="1">
      <alignment horizontal="center" vertical="center" wrapText="1"/>
    </xf>
    <xf numFmtId="0" fontId="11" fillId="15" borderId="19" xfId="0" applyFont="1" applyFill="1" applyBorder="1" applyAlignment="1">
      <alignment horizontal="center" vertical="center" wrapText="1"/>
    </xf>
    <xf numFmtId="0" fontId="11" fillId="15" borderId="6" xfId="0" applyFont="1" applyFill="1" applyBorder="1" applyAlignment="1">
      <alignment horizontal="center" vertical="center" wrapText="1"/>
    </xf>
    <xf numFmtId="0" fontId="11" fillId="15" borderId="0" xfId="0" applyFont="1" applyFill="1" applyAlignment="1">
      <alignment horizontal="center" vertical="center" wrapText="1"/>
    </xf>
    <xf numFmtId="0" fontId="11" fillId="15" borderId="4" xfId="0" applyFont="1" applyFill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14</xdr:row>
      <xdr:rowOff>106680</xdr:rowOff>
    </xdr:from>
    <xdr:to>
      <xdr:col>12</xdr:col>
      <xdr:colOff>213360</xdr:colOff>
      <xdr:row>21</xdr:row>
      <xdr:rowOff>106680</xdr:rowOff>
    </xdr:to>
    <xdr:sp macro="" textlink="">
      <xdr:nvSpPr>
        <xdr:cNvPr id="2" name="Cloud 1">
          <a:extLst>
            <a:ext uri="{FF2B5EF4-FFF2-40B4-BE49-F238E27FC236}">
              <a16:creationId xmlns:a16="http://schemas.microsoft.com/office/drawing/2014/main" id="{BF7ABA38-6190-4073-8F14-34CB74000904}"/>
            </a:ext>
          </a:extLst>
        </xdr:cNvPr>
        <xdr:cNvSpPr/>
      </xdr:nvSpPr>
      <xdr:spPr>
        <a:xfrm>
          <a:off x="5250180" y="2964180"/>
          <a:ext cx="2369820" cy="1379220"/>
        </a:xfrm>
        <a:prstGeom prst="cloud">
          <a:avLst/>
        </a:prstGeom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800" b="1">
            <a:solidFill>
              <a:schemeClr val="tx1"/>
            </a:solidFill>
            <a:latin typeface="Bookman Old Style" panose="02050604050505020204" pitchFamily="18" charset="0"/>
          </a:endParaRPr>
        </a:p>
        <a:p>
          <a:pPr algn="ctr"/>
          <a:r>
            <a:rPr lang="en-IN" sz="1600" b="1" i="1">
              <a:solidFill>
                <a:schemeClr val="tx1"/>
              </a:solidFill>
              <a:latin typeface="Bookman Old Style" panose="02050604050505020204" pitchFamily="18" charset="0"/>
            </a:rPr>
            <a:t>ThingSpeak</a:t>
          </a:r>
          <a:endParaRPr lang="en-IN" sz="2400" b="1" i="1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7</xdr:col>
      <xdr:colOff>0</xdr:colOff>
      <xdr:row>6</xdr:row>
      <xdr:rowOff>38100</xdr:rowOff>
    </xdr:from>
    <xdr:to>
      <xdr:col>10</xdr:col>
      <xdr:colOff>601980</xdr:colOff>
      <xdr:row>8</xdr:row>
      <xdr:rowOff>198120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8297AAB2-EBE0-4DF5-864B-8CB39A518B46}"/>
            </a:ext>
          </a:extLst>
        </xdr:cNvPr>
        <xdr:cNvSpPr/>
      </xdr:nvSpPr>
      <xdr:spPr>
        <a:xfrm>
          <a:off x="4267200" y="1097280"/>
          <a:ext cx="2659380" cy="617220"/>
        </a:xfrm>
        <a:prstGeom prst="rightArrow">
          <a:avLst>
            <a:gd name="adj1" fmla="val 50000"/>
            <a:gd name="adj2" fmla="val 75999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2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 b="1" i="1" u="none">
              <a:solidFill>
                <a:schemeClr val="tx1"/>
              </a:solidFill>
              <a:latin typeface="Bookman Old Style" panose="02050604050505020204" pitchFamily="18" charset="0"/>
            </a:rPr>
            <a:t>Monitoring</a:t>
          </a:r>
          <a:endParaRPr lang="en-IN" sz="1100" b="1" i="1" u="none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3</xdr:col>
      <xdr:colOff>381000</xdr:colOff>
      <xdr:row>7</xdr:row>
      <xdr:rowOff>0</xdr:rowOff>
    </xdr:from>
    <xdr:to>
      <xdr:col>4</xdr:col>
      <xdr:colOff>7620</xdr:colOff>
      <xdr:row>7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5FE90C82-BBD5-43B5-9C86-5A62EA98511D}"/>
            </a:ext>
          </a:extLst>
        </xdr:cNvPr>
        <xdr:cNvCxnSpPr/>
      </xdr:nvCxnSpPr>
      <xdr:spPr>
        <a:xfrm>
          <a:off x="2209800" y="128778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9</xdr:row>
      <xdr:rowOff>0</xdr:rowOff>
    </xdr:from>
    <xdr:to>
      <xdr:col>4</xdr:col>
      <xdr:colOff>7620</xdr:colOff>
      <xdr:row>9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CE3E0FE-6661-4402-A05A-B85EEBA55980}"/>
            </a:ext>
          </a:extLst>
        </xdr:cNvPr>
        <xdr:cNvCxnSpPr/>
      </xdr:nvCxnSpPr>
      <xdr:spPr>
        <a:xfrm>
          <a:off x="2209800" y="174498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388620</xdr:colOff>
      <xdr:row>11</xdr:row>
      <xdr:rowOff>0</xdr:rowOff>
    </xdr:from>
    <xdr:to>
      <xdr:col>4</xdr:col>
      <xdr:colOff>15240</xdr:colOff>
      <xdr:row>11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E9CE601C-1E18-4F30-8BD1-CDB6B66FCDD6}"/>
            </a:ext>
          </a:extLst>
        </xdr:cNvPr>
        <xdr:cNvCxnSpPr/>
      </xdr:nvCxnSpPr>
      <xdr:spPr>
        <a:xfrm>
          <a:off x="2217420" y="220218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</xdr:colOff>
      <xdr:row>16</xdr:row>
      <xdr:rowOff>0</xdr:rowOff>
    </xdr:from>
    <xdr:to>
      <xdr:col>4</xdr:col>
      <xdr:colOff>525780</xdr:colOff>
      <xdr:row>29</xdr:row>
      <xdr:rowOff>182880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03E5A59E-BE7B-48F0-A378-EA59D495CB9A}"/>
            </a:ext>
          </a:extLst>
        </xdr:cNvPr>
        <xdr:cNvSpPr/>
      </xdr:nvSpPr>
      <xdr:spPr>
        <a:xfrm rot="5400000">
          <a:off x="1451610" y="3943350"/>
          <a:ext cx="2567940" cy="457200"/>
        </a:xfrm>
        <a:prstGeom prst="rightArrow">
          <a:avLst>
            <a:gd name="adj1" fmla="val 50000"/>
            <a:gd name="adj2" fmla="val 75999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0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en-IN" sz="1400" b="1" i="1" u="none">
              <a:solidFill>
                <a:schemeClr val="tx1"/>
              </a:solidFill>
              <a:latin typeface="Bookman Old Style" panose="02050604050505020204" pitchFamily="18" charset="0"/>
            </a:rPr>
            <a:t>Testing</a:t>
          </a:r>
          <a:endParaRPr lang="en-IN" sz="1100" b="1" i="1" u="none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6</xdr:col>
      <xdr:colOff>0</xdr:colOff>
      <xdr:row>16</xdr:row>
      <xdr:rowOff>7620</xdr:rowOff>
    </xdr:from>
    <xdr:to>
      <xdr:col>6</xdr:col>
      <xdr:colOff>457200</xdr:colOff>
      <xdr:row>30</xdr:row>
      <xdr:rowOff>0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B9D4388A-373A-405C-8097-73C4CB49D0F4}"/>
            </a:ext>
          </a:extLst>
        </xdr:cNvPr>
        <xdr:cNvSpPr/>
      </xdr:nvSpPr>
      <xdr:spPr>
        <a:xfrm rot="16200000">
          <a:off x="2602230" y="3950970"/>
          <a:ext cx="2567940" cy="457200"/>
        </a:xfrm>
        <a:prstGeom prst="rightArrow">
          <a:avLst>
            <a:gd name="adj1" fmla="val 50000"/>
            <a:gd name="adj2" fmla="val 75999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0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IN" sz="1400" b="1" i="1" u="none">
              <a:solidFill>
                <a:schemeClr val="tx1"/>
              </a:solidFill>
              <a:latin typeface="Bookman Old Style" panose="02050604050505020204" pitchFamily="18" charset="0"/>
            </a:rPr>
            <a:t>Prediction</a:t>
          </a:r>
          <a:endParaRPr lang="en-IN" sz="1100" b="1" i="1" u="none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14</xdr:col>
      <xdr:colOff>266700</xdr:colOff>
      <xdr:row>11</xdr:row>
      <xdr:rowOff>15240</xdr:rowOff>
    </xdr:from>
    <xdr:to>
      <xdr:col>14</xdr:col>
      <xdr:colOff>906780</xdr:colOff>
      <xdr:row>30</xdr:row>
      <xdr:rowOff>0</xdr:rowOff>
    </xdr:to>
    <xdr:sp macro="" textlink="">
      <xdr:nvSpPr>
        <xdr:cNvPr id="10" name="Arrow: Right 9">
          <a:extLst>
            <a:ext uri="{FF2B5EF4-FFF2-40B4-BE49-F238E27FC236}">
              <a16:creationId xmlns:a16="http://schemas.microsoft.com/office/drawing/2014/main" id="{26E679A3-23F5-4A4A-AC10-EFFA30774910}"/>
            </a:ext>
          </a:extLst>
        </xdr:cNvPr>
        <xdr:cNvSpPr/>
      </xdr:nvSpPr>
      <xdr:spPr>
        <a:xfrm rot="16200000">
          <a:off x="7010400" y="3718560"/>
          <a:ext cx="3703320" cy="640080"/>
        </a:xfrm>
        <a:prstGeom prst="rightArrow">
          <a:avLst>
            <a:gd name="adj1" fmla="val 50000"/>
            <a:gd name="adj2" fmla="val 79332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5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endParaRPr lang="en-IN" sz="1100" b="1" i="1" u="none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7</xdr:col>
      <xdr:colOff>15240</xdr:colOff>
      <xdr:row>30</xdr:row>
      <xdr:rowOff>15240</xdr:rowOff>
    </xdr:from>
    <xdr:to>
      <xdr:col>11</xdr:col>
      <xdr:colOff>0</xdr:colOff>
      <xdr:row>33</xdr:row>
      <xdr:rowOff>175260</xdr:rowOff>
    </xdr:to>
    <xdr:sp macro="" textlink="">
      <xdr:nvSpPr>
        <xdr:cNvPr id="11" name="Arrow: Right 10">
          <a:extLst>
            <a:ext uri="{FF2B5EF4-FFF2-40B4-BE49-F238E27FC236}">
              <a16:creationId xmlns:a16="http://schemas.microsoft.com/office/drawing/2014/main" id="{EA70B69D-6FA1-4518-9DE9-DCE96B4989B2}"/>
            </a:ext>
          </a:extLst>
        </xdr:cNvPr>
        <xdr:cNvSpPr/>
      </xdr:nvSpPr>
      <xdr:spPr>
        <a:xfrm rot="10800000">
          <a:off x="4282440" y="5478780"/>
          <a:ext cx="2651760" cy="708660"/>
        </a:xfrm>
        <a:prstGeom prst="rightArrow">
          <a:avLst>
            <a:gd name="adj1" fmla="val 50000"/>
            <a:gd name="adj2" fmla="val 79332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5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endParaRPr lang="en-IN" sz="1100" b="1" i="1" u="none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10</xdr:col>
      <xdr:colOff>457824</xdr:colOff>
      <xdr:row>20</xdr:row>
      <xdr:rowOff>122766</xdr:rowOff>
    </xdr:from>
    <xdr:to>
      <xdr:col>11</xdr:col>
      <xdr:colOff>465444</xdr:colOff>
      <xdr:row>30</xdr:row>
      <xdr:rowOff>809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27112CAD-D19C-4E92-80A2-6741FE8EC0AC}"/>
            </a:ext>
          </a:extLst>
        </xdr:cNvPr>
        <xdr:cNvSpPr/>
      </xdr:nvSpPr>
      <xdr:spPr>
        <a:xfrm rot="16200000">
          <a:off x="6216445" y="4769678"/>
          <a:ext cx="1749177" cy="617220"/>
        </a:xfrm>
        <a:prstGeom prst="rightArrow">
          <a:avLst>
            <a:gd name="adj1" fmla="val 50000"/>
            <a:gd name="adj2" fmla="val 75999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2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IN" sz="1100" b="1" i="1" u="none">
            <a:solidFill>
              <a:schemeClr val="tx1"/>
            </a:solidFill>
            <a:latin typeface="Bookman Old Style" panose="02050604050505020204" pitchFamily="18" charset="0"/>
          </a:endParaRPr>
        </a:p>
      </xdr:txBody>
    </xdr:sp>
    <xdr:clientData/>
  </xdr:twoCellAnchor>
  <xdr:twoCellAnchor>
    <xdr:from>
      <xdr:col>6</xdr:col>
      <xdr:colOff>443482</xdr:colOff>
      <xdr:row>11</xdr:row>
      <xdr:rowOff>63957</xdr:rowOff>
    </xdr:from>
    <xdr:to>
      <xdr:col>9</xdr:col>
      <xdr:colOff>93283</xdr:colOff>
      <xdr:row>14</xdr:row>
      <xdr:rowOff>154951</xdr:rowOff>
    </xdr:to>
    <xdr:sp macro="" textlink="">
      <xdr:nvSpPr>
        <xdr:cNvPr id="13" name="Arrow: Left-Right 12">
          <a:extLst>
            <a:ext uri="{FF2B5EF4-FFF2-40B4-BE49-F238E27FC236}">
              <a16:creationId xmlns:a16="http://schemas.microsoft.com/office/drawing/2014/main" id="{792DFCC4-13D2-435E-8E3A-C4FF20D27D1B}"/>
            </a:ext>
          </a:extLst>
        </xdr:cNvPr>
        <xdr:cNvSpPr/>
      </xdr:nvSpPr>
      <xdr:spPr>
        <a:xfrm rot="2165847">
          <a:off x="4101082" y="2235657"/>
          <a:ext cx="1707201" cy="776794"/>
        </a:xfrm>
        <a:prstGeom prst="leftRightArrow">
          <a:avLst>
            <a:gd name="adj1" fmla="val 48713"/>
            <a:gd name="adj2" fmla="val 41642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0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1" i="1">
              <a:solidFill>
                <a:schemeClr val="tx1"/>
              </a:solidFill>
              <a:latin typeface="Bookman Old Style" panose="02050604050505020204" pitchFamily="18" charset="0"/>
            </a:rPr>
            <a:t>Monitoring</a:t>
          </a:r>
        </a:p>
      </xdr:txBody>
    </xdr:sp>
    <xdr:clientData/>
  </xdr:twoCellAnchor>
  <xdr:twoCellAnchor>
    <xdr:from>
      <xdr:col>4</xdr:col>
      <xdr:colOff>594360</xdr:colOff>
      <xdr:row>1</xdr:row>
      <xdr:rowOff>0</xdr:rowOff>
    </xdr:from>
    <xdr:to>
      <xdr:col>7</xdr:col>
      <xdr:colOff>594360</xdr:colOff>
      <xdr:row>5</xdr:row>
      <xdr:rowOff>198120</xdr:rowOff>
    </xdr:to>
    <xdr:sp macro="" textlink="">
      <xdr:nvSpPr>
        <xdr:cNvPr id="14" name="Arrow: Left-Up 13">
          <a:extLst>
            <a:ext uri="{FF2B5EF4-FFF2-40B4-BE49-F238E27FC236}">
              <a16:creationId xmlns:a16="http://schemas.microsoft.com/office/drawing/2014/main" id="{757049F9-CB93-4D06-90B2-8543B69C315F}"/>
            </a:ext>
          </a:extLst>
        </xdr:cNvPr>
        <xdr:cNvSpPr/>
      </xdr:nvSpPr>
      <xdr:spPr>
        <a:xfrm rot="10800000">
          <a:off x="3032760" y="68580"/>
          <a:ext cx="1828800" cy="952500"/>
        </a:xfrm>
        <a:prstGeom prst="leftUpArrow">
          <a:avLst>
            <a:gd name="adj1" fmla="val 25669"/>
            <a:gd name="adj2" fmla="val 33456"/>
            <a:gd name="adj3" fmla="val 25735"/>
          </a:avLst>
        </a:prstGeom>
        <a:gradFill flip="none" rotWithShape="1">
          <a:gsLst>
            <a:gs pos="0">
              <a:schemeClr val="accent6">
                <a:lumMod val="0"/>
                <a:lumOff val="100000"/>
              </a:schemeClr>
            </a:gs>
            <a:gs pos="30000">
              <a:schemeClr val="accent4">
                <a:lumMod val="20000"/>
                <a:lumOff val="80000"/>
              </a:schemeClr>
            </a:gs>
            <a:gs pos="100000">
              <a:schemeClr val="accent6">
                <a:lumMod val="100000"/>
              </a:schemeClr>
            </a:gs>
          </a:gsLst>
          <a:path path="rect">
            <a:fillToRect l="100000" t="100000"/>
          </a:path>
          <a:tileRect r="-100000" b="-100000"/>
        </a:gra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n-IN" sz="1100" b="1" i="1">
              <a:solidFill>
                <a:schemeClr val="tx1"/>
              </a:solidFill>
              <a:latin typeface="Bookman Old Style" panose="02050604050505020204" pitchFamily="18" charset="0"/>
            </a:rPr>
            <a:t>Output</a:t>
          </a:r>
        </a:p>
      </xdr:txBody>
    </xdr:sp>
    <xdr:clientData/>
  </xdr:twoCellAnchor>
  <xdr:twoCellAnchor>
    <xdr:from>
      <xdr:col>3</xdr:col>
      <xdr:colOff>388620</xdr:colOff>
      <xdr:row>15</xdr:row>
      <xdr:rowOff>0</xdr:rowOff>
    </xdr:from>
    <xdr:to>
      <xdr:col>4</xdr:col>
      <xdr:colOff>15240</xdr:colOff>
      <xdr:row>15</xdr:row>
      <xdr:rowOff>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CFBDE31-07FD-40DF-B9D4-9BDDDF8C3215}"/>
            </a:ext>
          </a:extLst>
        </xdr:cNvPr>
        <xdr:cNvCxnSpPr/>
      </xdr:nvCxnSpPr>
      <xdr:spPr>
        <a:xfrm>
          <a:off x="2217420" y="217170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388620</xdr:colOff>
      <xdr:row>13</xdr:row>
      <xdr:rowOff>0</xdr:rowOff>
    </xdr:from>
    <xdr:to>
      <xdr:col>4</xdr:col>
      <xdr:colOff>15240</xdr:colOff>
      <xdr:row>13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7A7CA579-3C13-497C-ABB0-98BA00DDB978}"/>
            </a:ext>
          </a:extLst>
        </xdr:cNvPr>
        <xdr:cNvCxnSpPr/>
      </xdr:nvCxnSpPr>
      <xdr:spPr>
        <a:xfrm>
          <a:off x="2217420" y="3086100"/>
          <a:ext cx="2362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showGridLines="0" workbookViewId="0">
      <selection activeCell="O29" sqref="O29"/>
    </sheetView>
  </sheetViews>
  <sheetFormatPr defaultRowHeight="14.4" x14ac:dyDescent="0.3"/>
  <cols>
    <col min="1" max="3" width="8.88671875" style="1" customWidth="1"/>
    <col min="4" max="4" width="18.33203125" style="1" customWidth="1"/>
    <col min="5" max="5" width="12.33203125" style="1" bestFit="1" customWidth="1"/>
    <col min="6" max="9" width="12.33203125" style="1" customWidth="1"/>
    <col min="10" max="10" width="13" style="1" bestFit="1" customWidth="1"/>
    <col min="11" max="11" width="10.44140625" style="1" bestFit="1" customWidth="1"/>
    <col min="12" max="12" width="12.33203125" style="1" customWidth="1"/>
    <col min="13" max="13" width="10" style="1" bestFit="1" customWidth="1"/>
    <col min="14" max="14" width="11.88671875" style="1" bestFit="1" customWidth="1"/>
    <col min="15" max="15" width="11.77734375" style="1" bestFit="1" customWidth="1"/>
    <col min="16" max="17" width="12.33203125" style="1" customWidth="1"/>
    <col min="18" max="18" width="8.88671875" style="1"/>
    <col min="19" max="19" width="42.5546875" style="9" bestFit="1" customWidth="1"/>
    <col min="20" max="20" width="36.88671875" style="9" bestFit="1" customWidth="1"/>
    <col min="21" max="21" width="6.77734375" style="9" bestFit="1" customWidth="1"/>
    <col min="22" max="16384" width="8.88671875" style="1"/>
  </cols>
  <sheetData>
    <row r="1" spans="1:21" ht="14.4" customHeight="1" x14ac:dyDescent="0.3"/>
    <row r="2" spans="1:21" ht="14.4" customHeight="1" thickBot="1" x14ac:dyDescent="0.35"/>
    <row r="3" spans="1:21" ht="15" customHeight="1" thickBot="1" x14ac:dyDescent="0.35">
      <c r="B3" s="74" t="s">
        <v>87</v>
      </c>
      <c r="C3" s="74"/>
      <c r="D3" s="74"/>
      <c r="E3" s="74"/>
      <c r="G3" s="74" t="s">
        <v>88</v>
      </c>
      <c r="H3" s="74"/>
      <c r="I3" s="74"/>
      <c r="J3" s="74"/>
      <c r="S3" s="8" t="s">
        <v>37</v>
      </c>
      <c r="T3" s="8" t="s">
        <v>32</v>
      </c>
      <c r="U3" s="12" t="s">
        <v>31</v>
      </c>
    </row>
    <row r="4" spans="1:21" ht="15" customHeight="1" thickBot="1" x14ac:dyDescent="0.35">
      <c r="B4" s="57" t="s">
        <v>0</v>
      </c>
      <c r="C4" s="57"/>
      <c r="D4" s="57"/>
      <c r="E4" s="3" t="s">
        <v>1</v>
      </c>
      <c r="G4" s="57" t="s">
        <v>0</v>
      </c>
      <c r="H4" s="57"/>
      <c r="I4" s="57"/>
      <c r="J4" s="3" t="s">
        <v>1</v>
      </c>
      <c r="S4" s="15" t="s">
        <v>17</v>
      </c>
      <c r="T4" s="18" t="s">
        <v>30</v>
      </c>
      <c r="U4" s="14">
        <v>600</v>
      </c>
    </row>
    <row r="5" spans="1:21" ht="15" customHeight="1" x14ac:dyDescent="0.3">
      <c r="A5" s="2"/>
      <c r="B5" s="66" t="s">
        <v>2</v>
      </c>
      <c r="C5" s="67"/>
      <c r="D5" s="68"/>
      <c r="E5" s="6">
        <v>150</v>
      </c>
      <c r="F5" s="36">
        <f t="shared" ref="F5:F19" si="0">J5-E5</f>
        <v>1350</v>
      </c>
      <c r="G5" s="75" t="s">
        <v>78</v>
      </c>
      <c r="H5" s="76"/>
      <c r="I5" s="77"/>
      <c r="J5" s="38">
        <v>1500</v>
      </c>
      <c r="S5" s="16" t="s">
        <v>19</v>
      </c>
      <c r="T5" s="19" t="s">
        <v>30</v>
      </c>
      <c r="U5" s="13">
        <v>720</v>
      </c>
    </row>
    <row r="6" spans="1:21" ht="15" customHeight="1" x14ac:dyDescent="0.3">
      <c r="A6" s="2"/>
      <c r="B6" s="66" t="s">
        <v>3</v>
      </c>
      <c r="C6" s="67"/>
      <c r="D6" s="68"/>
      <c r="E6" s="6">
        <v>250</v>
      </c>
      <c r="F6" s="36">
        <f t="shared" si="0"/>
        <v>-250</v>
      </c>
      <c r="G6" s="66"/>
      <c r="H6" s="67"/>
      <c r="I6" s="68"/>
      <c r="J6" s="39"/>
      <c r="S6" s="16" t="s">
        <v>18</v>
      </c>
      <c r="T6" s="19" t="s">
        <v>33</v>
      </c>
      <c r="U6" s="13">
        <v>800</v>
      </c>
    </row>
    <row r="7" spans="1:21" ht="15" customHeight="1" x14ac:dyDescent="0.3">
      <c r="A7" s="2"/>
      <c r="B7" s="66" t="s">
        <v>4</v>
      </c>
      <c r="C7" s="67"/>
      <c r="D7" s="68"/>
      <c r="E7" s="6">
        <v>50</v>
      </c>
      <c r="F7" s="36">
        <f t="shared" si="0"/>
        <v>10</v>
      </c>
      <c r="G7" s="71" t="s">
        <v>4</v>
      </c>
      <c r="H7" s="72"/>
      <c r="I7" s="73"/>
      <c r="J7" s="6">
        <v>60</v>
      </c>
      <c r="S7" s="16" t="s">
        <v>20</v>
      </c>
      <c r="T7" s="19" t="s">
        <v>34</v>
      </c>
      <c r="U7" s="13">
        <v>550</v>
      </c>
    </row>
    <row r="8" spans="1:21" ht="15" customHeight="1" x14ac:dyDescent="0.3">
      <c r="A8" s="2"/>
      <c r="B8" s="66" t="s">
        <v>5</v>
      </c>
      <c r="C8" s="67"/>
      <c r="D8" s="68"/>
      <c r="E8" s="6">
        <v>40</v>
      </c>
      <c r="F8" s="36">
        <f t="shared" si="0"/>
        <v>0</v>
      </c>
      <c r="G8" s="66" t="s">
        <v>5</v>
      </c>
      <c r="H8" s="67"/>
      <c r="I8" s="68"/>
      <c r="J8" s="6">
        <v>40</v>
      </c>
      <c r="S8" s="16" t="s">
        <v>21</v>
      </c>
      <c r="T8" s="20" t="s">
        <v>35</v>
      </c>
      <c r="U8" s="13">
        <v>610</v>
      </c>
    </row>
    <row r="9" spans="1:21" ht="15" customHeight="1" x14ac:dyDescent="0.3">
      <c r="A9" s="2"/>
      <c r="B9" s="66" t="s">
        <v>6</v>
      </c>
      <c r="C9" s="67"/>
      <c r="D9" s="68"/>
      <c r="E9" s="6">
        <v>30</v>
      </c>
      <c r="F9" s="36">
        <f t="shared" si="0"/>
        <v>0</v>
      </c>
      <c r="G9" s="66" t="s">
        <v>6</v>
      </c>
      <c r="H9" s="67"/>
      <c r="I9" s="68"/>
      <c r="J9" s="6">
        <v>30</v>
      </c>
      <c r="S9" s="16" t="s">
        <v>22</v>
      </c>
      <c r="T9" s="19" t="s">
        <v>30</v>
      </c>
      <c r="U9" s="13">
        <v>550</v>
      </c>
    </row>
    <row r="10" spans="1:21" ht="15" customHeight="1" x14ac:dyDescent="0.3">
      <c r="A10" s="2"/>
      <c r="B10" s="66" t="s">
        <v>82</v>
      </c>
      <c r="C10" s="67"/>
      <c r="D10" s="68"/>
      <c r="E10" s="6">
        <v>115</v>
      </c>
      <c r="F10" s="36">
        <f t="shared" si="0"/>
        <v>0</v>
      </c>
      <c r="G10" s="66" t="s">
        <v>82</v>
      </c>
      <c r="H10" s="67"/>
      <c r="I10" s="68"/>
      <c r="J10" s="6">
        <v>115</v>
      </c>
      <c r="S10" s="16" t="s">
        <v>28</v>
      </c>
      <c r="T10" s="69" t="s">
        <v>30</v>
      </c>
      <c r="U10" s="70">
        <v>600</v>
      </c>
    </row>
    <row r="11" spans="1:21" ht="15" customHeight="1" x14ac:dyDescent="0.3">
      <c r="A11" s="2"/>
      <c r="B11" s="66" t="s">
        <v>7</v>
      </c>
      <c r="C11" s="67"/>
      <c r="D11" s="68"/>
      <c r="E11" s="6">
        <v>130</v>
      </c>
      <c r="F11" s="36">
        <f t="shared" si="0"/>
        <v>100</v>
      </c>
      <c r="G11" s="71" t="s">
        <v>80</v>
      </c>
      <c r="H11" s="72"/>
      <c r="I11" s="73"/>
      <c r="J11" s="6">
        <v>230</v>
      </c>
      <c r="S11" s="16" t="s">
        <v>27</v>
      </c>
      <c r="T11" s="69"/>
      <c r="U11" s="70"/>
    </row>
    <row r="12" spans="1:21" ht="15" customHeight="1" x14ac:dyDescent="0.3">
      <c r="A12" s="2"/>
      <c r="B12" s="66" t="s">
        <v>8</v>
      </c>
      <c r="C12" s="67"/>
      <c r="D12" s="68"/>
      <c r="E12" s="6">
        <v>40</v>
      </c>
      <c r="F12" s="36">
        <f t="shared" si="0"/>
        <v>0</v>
      </c>
      <c r="G12" s="66" t="s">
        <v>8</v>
      </c>
      <c r="H12" s="67"/>
      <c r="I12" s="68"/>
      <c r="J12" s="6">
        <v>40</v>
      </c>
      <c r="S12" s="16" t="s">
        <v>26</v>
      </c>
      <c r="T12" s="69"/>
      <c r="U12" s="70"/>
    </row>
    <row r="13" spans="1:21" ht="15" customHeight="1" x14ac:dyDescent="0.3">
      <c r="A13" s="2"/>
      <c r="B13" s="66" t="s">
        <v>15</v>
      </c>
      <c r="C13" s="67"/>
      <c r="D13" s="68"/>
      <c r="E13" s="6">
        <v>160</v>
      </c>
      <c r="F13" s="36">
        <f t="shared" si="0"/>
        <v>0</v>
      </c>
      <c r="G13" s="66" t="s">
        <v>15</v>
      </c>
      <c r="H13" s="67"/>
      <c r="I13" s="68"/>
      <c r="J13" s="6">
        <v>160</v>
      </c>
      <c r="S13" s="16" t="s">
        <v>25</v>
      </c>
      <c r="T13" s="69"/>
      <c r="U13" s="70"/>
    </row>
    <row r="14" spans="1:21" ht="15" customHeight="1" x14ac:dyDescent="0.3">
      <c r="A14" s="2"/>
      <c r="B14" s="66" t="s">
        <v>9</v>
      </c>
      <c r="C14" s="67"/>
      <c r="D14" s="68"/>
      <c r="E14" s="6">
        <v>100</v>
      </c>
      <c r="F14" s="36">
        <f t="shared" si="0"/>
        <v>-100</v>
      </c>
      <c r="G14" s="71" t="s">
        <v>79</v>
      </c>
      <c r="H14" s="72"/>
      <c r="I14" s="73"/>
      <c r="J14" s="6"/>
      <c r="S14" s="16" t="s">
        <v>24</v>
      </c>
      <c r="T14" s="19" t="s">
        <v>36</v>
      </c>
      <c r="U14" s="13">
        <v>575</v>
      </c>
    </row>
    <row r="15" spans="1:21" ht="15" customHeight="1" thickBot="1" x14ac:dyDescent="0.35">
      <c r="A15" s="2"/>
      <c r="B15" s="66" t="s">
        <v>10</v>
      </c>
      <c r="C15" s="67"/>
      <c r="D15" s="68"/>
      <c r="E15" s="6">
        <v>25</v>
      </c>
      <c r="F15" s="36">
        <f t="shared" si="0"/>
        <v>25</v>
      </c>
      <c r="G15" s="71" t="s">
        <v>81</v>
      </c>
      <c r="H15" s="72"/>
      <c r="I15" s="73"/>
      <c r="J15" s="6">
        <v>50</v>
      </c>
      <c r="S15" s="17" t="s">
        <v>23</v>
      </c>
      <c r="T15" s="21" t="s">
        <v>29</v>
      </c>
      <c r="U15" s="10">
        <v>580</v>
      </c>
    </row>
    <row r="16" spans="1:21" ht="15" customHeight="1" thickBot="1" x14ac:dyDescent="0.35">
      <c r="A16" s="2"/>
      <c r="B16" s="66" t="s">
        <v>11</v>
      </c>
      <c r="C16" s="67"/>
      <c r="D16" s="68"/>
      <c r="E16" s="6">
        <v>20</v>
      </c>
      <c r="F16" s="36">
        <f t="shared" si="0"/>
        <v>0</v>
      </c>
      <c r="G16" s="66" t="s">
        <v>11</v>
      </c>
      <c r="H16" s="67"/>
      <c r="I16" s="68"/>
      <c r="J16" s="6">
        <v>20</v>
      </c>
      <c r="S16" s="11"/>
      <c r="T16" s="11"/>
    </row>
    <row r="17" spans="1:23" ht="15" customHeight="1" thickBot="1" x14ac:dyDescent="0.35">
      <c r="A17" s="2"/>
      <c r="B17" s="66" t="s">
        <v>12</v>
      </c>
      <c r="C17" s="67"/>
      <c r="D17" s="68"/>
      <c r="E17" s="6">
        <v>60</v>
      </c>
      <c r="F17" s="36">
        <f t="shared" si="0"/>
        <v>0</v>
      </c>
      <c r="G17" s="66" t="s">
        <v>12</v>
      </c>
      <c r="H17" s="67"/>
      <c r="I17" s="68"/>
      <c r="J17" s="6">
        <v>60</v>
      </c>
      <c r="S17" s="8" t="s">
        <v>53</v>
      </c>
      <c r="T17" s="8" t="s">
        <v>61</v>
      </c>
      <c r="U17" s="12" t="s">
        <v>57</v>
      </c>
    </row>
    <row r="18" spans="1:23" ht="15" customHeight="1" thickBot="1" x14ac:dyDescent="0.35">
      <c r="A18" s="2"/>
      <c r="B18" s="61" t="s">
        <v>13</v>
      </c>
      <c r="C18" s="62"/>
      <c r="D18" s="63"/>
      <c r="E18" s="7">
        <v>100</v>
      </c>
      <c r="F18" s="36">
        <f t="shared" si="0"/>
        <v>-100</v>
      </c>
      <c r="G18" s="78" t="s">
        <v>79</v>
      </c>
      <c r="H18" s="79"/>
      <c r="I18" s="80"/>
      <c r="J18" s="7"/>
      <c r="R18" s="1">
        <v>1</v>
      </c>
      <c r="S18" s="31" t="s">
        <v>18</v>
      </c>
      <c r="T18" s="32"/>
      <c r="U18" s="33" t="s">
        <v>29</v>
      </c>
    </row>
    <row r="19" spans="1:23" ht="15" customHeight="1" thickBot="1" x14ac:dyDescent="0.35">
      <c r="A19" s="2"/>
      <c r="B19" s="61" t="s">
        <v>16</v>
      </c>
      <c r="C19" s="62"/>
      <c r="D19" s="63"/>
      <c r="E19" s="7">
        <v>60</v>
      </c>
      <c r="F19" s="36">
        <f t="shared" si="0"/>
        <v>-60</v>
      </c>
      <c r="G19" s="78" t="s">
        <v>79</v>
      </c>
      <c r="H19" s="79"/>
      <c r="I19" s="80"/>
      <c r="J19" s="7"/>
      <c r="R19" s="1">
        <v>2</v>
      </c>
      <c r="S19" s="31" t="s">
        <v>54</v>
      </c>
      <c r="T19" s="34"/>
      <c r="U19" s="35" t="s">
        <v>58</v>
      </c>
    </row>
    <row r="20" spans="1:23" ht="15" customHeight="1" thickBot="1" x14ac:dyDescent="0.35">
      <c r="A20" s="2"/>
      <c r="B20" s="64" t="s">
        <v>14</v>
      </c>
      <c r="C20" s="65"/>
      <c r="D20" s="65"/>
      <c r="E20" s="4">
        <f>SUM(E5:E19)</f>
        <v>1330</v>
      </c>
      <c r="F20" s="37">
        <f>SUM(F5:F19)</f>
        <v>975</v>
      </c>
      <c r="G20" s="64" t="s">
        <v>14</v>
      </c>
      <c r="H20" s="65"/>
      <c r="I20" s="65"/>
      <c r="J20" s="4">
        <f>SUM(J5:J19)</f>
        <v>2305</v>
      </c>
      <c r="R20" s="1">
        <v>3</v>
      </c>
      <c r="S20" s="31" t="s">
        <v>62</v>
      </c>
      <c r="T20" s="34"/>
      <c r="U20" s="35" t="s">
        <v>63</v>
      </c>
    </row>
    <row r="21" spans="1:23" ht="16.2" thickBot="1" x14ac:dyDescent="0.35">
      <c r="B21" s="51" t="s">
        <v>39</v>
      </c>
      <c r="C21" s="52"/>
      <c r="D21" s="53"/>
      <c r="E21" s="5">
        <f>E20/5</f>
        <v>266</v>
      </c>
      <c r="R21" s="1">
        <v>4</v>
      </c>
      <c r="S21" s="16" t="s">
        <v>55</v>
      </c>
      <c r="T21" s="19" t="s">
        <v>65</v>
      </c>
      <c r="U21" s="13" t="s">
        <v>56</v>
      </c>
    </row>
    <row r="22" spans="1:23" ht="16.2" thickBot="1" x14ac:dyDescent="0.35">
      <c r="G22" s="57" t="s">
        <v>0</v>
      </c>
      <c r="H22" s="57"/>
      <c r="I22" s="57"/>
      <c r="J22" s="3" t="s">
        <v>1</v>
      </c>
      <c r="K22" s="3" t="s">
        <v>84</v>
      </c>
      <c r="M22" s="46">
        <f>$J$29</f>
        <v>955</v>
      </c>
      <c r="N22" s="40" t="s">
        <v>89</v>
      </c>
      <c r="R22" s="1">
        <v>5</v>
      </c>
      <c r="S22" s="16" t="s">
        <v>66</v>
      </c>
      <c r="T22" s="19" t="s">
        <v>67</v>
      </c>
      <c r="U22" s="13" t="s">
        <v>68</v>
      </c>
      <c r="V22" s="30"/>
    </row>
    <row r="23" spans="1:23" ht="16.2" thickBot="1" x14ac:dyDescent="0.35">
      <c r="G23" s="54" t="s">
        <v>83</v>
      </c>
      <c r="H23" s="55"/>
      <c r="I23" s="56"/>
      <c r="J23" s="41">
        <v>1330</v>
      </c>
      <c r="K23" s="42">
        <v>5</v>
      </c>
      <c r="M23" s="46">
        <f>$J$29</f>
        <v>955</v>
      </c>
      <c r="N23" s="40" t="s">
        <v>90</v>
      </c>
      <c r="R23" s="1">
        <v>6</v>
      </c>
      <c r="S23" s="16" t="s">
        <v>76</v>
      </c>
      <c r="T23" s="19" t="s">
        <v>75</v>
      </c>
      <c r="U23" s="13" t="s">
        <v>72</v>
      </c>
    </row>
    <row r="24" spans="1:23" ht="16.2" thickBot="1" x14ac:dyDescent="0.35">
      <c r="G24" s="54" t="s">
        <v>38</v>
      </c>
      <c r="H24" s="55"/>
      <c r="I24" s="56"/>
      <c r="J24" s="41">
        <v>150</v>
      </c>
      <c r="K24" s="42">
        <v>6</v>
      </c>
      <c r="M24" s="46">
        <f>$J$29</f>
        <v>955</v>
      </c>
      <c r="N24" s="40" t="s">
        <v>94</v>
      </c>
      <c r="V24" s="30"/>
    </row>
    <row r="25" spans="1:23" ht="16.2" thickBot="1" x14ac:dyDescent="0.35">
      <c r="G25" s="54" t="s">
        <v>85</v>
      </c>
      <c r="H25" s="55"/>
      <c r="I25" s="56"/>
      <c r="J25" s="43">
        <f>F20</f>
        <v>975</v>
      </c>
      <c r="K25" s="44">
        <v>6</v>
      </c>
      <c r="W25" s="30"/>
    </row>
    <row r="26" spans="1:23" thickBot="1" x14ac:dyDescent="0.35">
      <c r="M26" s="46">
        <f>$J$29</f>
        <v>955</v>
      </c>
      <c r="N26" s="40" t="s">
        <v>91</v>
      </c>
      <c r="S26" s="27" t="s">
        <v>73</v>
      </c>
      <c r="T26" s="28" t="s">
        <v>71</v>
      </c>
      <c r="U26" s="29" t="s">
        <v>74</v>
      </c>
      <c r="V26" s="30"/>
    </row>
    <row r="27" spans="1:23" ht="16.2" thickBot="1" x14ac:dyDescent="0.35">
      <c r="G27" s="58" t="s">
        <v>40</v>
      </c>
      <c r="H27" s="59"/>
      <c r="I27" s="60"/>
      <c r="J27" s="22">
        <v>5730</v>
      </c>
      <c r="K27" s="45">
        <v>6</v>
      </c>
      <c r="M27" s="46">
        <f>$J$29</f>
        <v>955</v>
      </c>
      <c r="N27" s="40" t="s">
        <v>92</v>
      </c>
      <c r="S27" s="27" t="s">
        <v>59</v>
      </c>
      <c r="T27" s="28" t="s">
        <v>64</v>
      </c>
      <c r="U27" s="29" t="s">
        <v>60</v>
      </c>
    </row>
    <row r="28" spans="1:23" ht="16.2" thickBot="1" x14ac:dyDescent="0.35">
      <c r="G28" s="48" t="s">
        <v>14</v>
      </c>
      <c r="H28" s="49"/>
      <c r="I28" s="50"/>
      <c r="J28" s="4">
        <f>SUM(J27)</f>
        <v>5730</v>
      </c>
      <c r="M28" s="46">
        <f>$J$29</f>
        <v>955</v>
      </c>
      <c r="N28" s="40" t="s">
        <v>93</v>
      </c>
      <c r="S28" s="27" t="s">
        <v>70</v>
      </c>
      <c r="T28" s="28" t="s">
        <v>67</v>
      </c>
      <c r="U28" s="29" t="s">
        <v>69</v>
      </c>
    </row>
    <row r="29" spans="1:23" ht="16.2" thickBot="1" x14ac:dyDescent="0.35">
      <c r="G29" s="51" t="s">
        <v>41</v>
      </c>
      <c r="H29" s="52"/>
      <c r="I29" s="53"/>
      <c r="J29" s="5">
        <f>J28/6</f>
        <v>955</v>
      </c>
      <c r="M29" s="47">
        <f>SUM(M26:M28)</f>
        <v>2865</v>
      </c>
    </row>
  </sheetData>
  <mergeCells count="46">
    <mergeCell ref="G19:I19"/>
    <mergeCell ref="G20:I20"/>
    <mergeCell ref="G25:I25"/>
    <mergeCell ref="G14:I14"/>
    <mergeCell ref="G15:I15"/>
    <mergeCell ref="G16:I16"/>
    <mergeCell ref="G17:I17"/>
    <mergeCell ref="G18:I18"/>
    <mergeCell ref="G24:I24"/>
    <mergeCell ref="G3:J3"/>
    <mergeCell ref="G4:I4"/>
    <mergeCell ref="G7:I7"/>
    <mergeCell ref="B3:E3"/>
    <mergeCell ref="B4:D4"/>
    <mergeCell ref="B5:D5"/>
    <mergeCell ref="B6:D6"/>
    <mergeCell ref="G5:I5"/>
    <mergeCell ref="G6:I6"/>
    <mergeCell ref="B12:D12"/>
    <mergeCell ref="T10:T13"/>
    <mergeCell ref="U10:U13"/>
    <mergeCell ref="B7:D7"/>
    <mergeCell ref="B8:D8"/>
    <mergeCell ref="B9:D9"/>
    <mergeCell ref="B10:D10"/>
    <mergeCell ref="B11:D11"/>
    <mergeCell ref="B13:D13"/>
    <mergeCell ref="G8:I8"/>
    <mergeCell ref="G9:I9"/>
    <mergeCell ref="G10:I10"/>
    <mergeCell ref="G11:I11"/>
    <mergeCell ref="G12:I12"/>
    <mergeCell ref="G13:I13"/>
    <mergeCell ref="B19:D19"/>
    <mergeCell ref="B21:D21"/>
    <mergeCell ref="B20:D20"/>
    <mergeCell ref="B14:D14"/>
    <mergeCell ref="B15:D15"/>
    <mergeCell ref="B16:D16"/>
    <mergeCell ref="B17:D17"/>
    <mergeCell ref="B18:D18"/>
    <mergeCell ref="G28:I28"/>
    <mergeCell ref="G29:I29"/>
    <mergeCell ref="G23:I23"/>
    <mergeCell ref="G22:I22"/>
    <mergeCell ref="G27:I27"/>
  </mergeCells>
  <pageMargins left="0.7" right="0.7" top="0.75" bottom="0.75" header="0.3" footer="0.3"/>
  <ignoredErrors>
    <ignoredError sqref="F2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175C-F9F3-441C-A4C3-6FFA00408344}">
  <dimension ref="B1:R34"/>
  <sheetViews>
    <sheetView showGridLines="0" tabSelected="1" zoomScale="90" zoomScaleNormal="90" workbookViewId="0">
      <selection activeCell="V16" sqref="V16"/>
    </sheetView>
  </sheetViews>
  <sheetFormatPr defaultRowHeight="14.4" x14ac:dyDescent="0.3"/>
  <cols>
    <col min="9" max="9" width="12.21875" bestFit="1" customWidth="1"/>
    <col min="12" max="12" width="6.88671875" bestFit="1" customWidth="1"/>
    <col min="13" max="13" width="6.6640625" bestFit="1" customWidth="1"/>
    <col min="14" max="14" width="6" bestFit="1" customWidth="1"/>
    <col min="15" max="15" width="17.44140625" bestFit="1" customWidth="1"/>
    <col min="16" max="16" width="11.5546875" bestFit="1" customWidth="1"/>
    <col min="17" max="17" width="12" bestFit="1" customWidth="1"/>
    <col min="18" max="18" width="7.5546875" bestFit="1" customWidth="1"/>
  </cols>
  <sheetData>
    <row r="1" spans="2:18" ht="5.4" customHeight="1" thickBot="1" x14ac:dyDescent="0.35"/>
    <row r="2" spans="2:18" ht="15" thickBot="1" x14ac:dyDescent="0.35">
      <c r="I2" s="105" t="s">
        <v>77</v>
      </c>
      <c r="J2" s="106"/>
    </row>
    <row r="3" spans="2:18" ht="14.4" customHeight="1" x14ac:dyDescent="0.3">
      <c r="I3" s="107"/>
      <c r="J3" s="108"/>
      <c r="L3" s="90" t="s">
        <v>42</v>
      </c>
      <c r="M3" s="91"/>
      <c r="N3" s="91"/>
      <c r="O3" s="91"/>
      <c r="P3" s="91"/>
      <c r="Q3" s="91"/>
      <c r="R3" s="92"/>
    </row>
    <row r="4" spans="2:18" ht="15" customHeight="1" thickBot="1" x14ac:dyDescent="0.35">
      <c r="I4" s="109"/>
      <c r="J4" s="110"/>
      <c r="L4" s="93"/>
      <c r="M4" s="94"/>
      <c r="N4" s="94"/>
      <c r="O4" s="94"/>
      <c r="P4" s="94"/>
      <c r="Q4" s="94"/>
      <c r="R4" s="95"/>
    </row>
    <row r="5" spans="2:18" ht="15" thickBot="1" x14ac:dyDescent="0.35"/>
    <row r="6" spans="2:18" ht="16.2" thickBot="1" x14ac:dyDescent="0.35">
      <c r="L6" s="23" t="s">
        <v>43</v>
      </c>
      <c r="M6" s="23" t="s">
        <v>44</v>
      </c>
      <c r="N6" s="23" t="s">
        <v>46</v>
      </c>
      <c r="O6" s="23" t="s">
        <v>49</v>
      </c>
      <c r="P6" s="23" t="s">
        <v>50</v>
      </c>
      <c r="Q6" s="23" t="s">
        <v>51</v>
      </c>
      <c r="R6" s="23" t="s">
        <v>45</v>
      </c>
    </row>
    <row r="7" spans="2:18" ht="18" customHeight="1" thickBot="1" x14ac:dyDescent="0.35">
      <c r="B7" s="111" t="s">
        <v>95</v>
      </c>
      <c r="C7" s="112"/>
      <c r="E7" s="115" t="s">
        <v>86</v>
      </c>
      <c r="F7" s="116"/>
      <c r="G7" s="117"/>
      <c r="L7" s="26"/>
      <c r="M7" s="26"/>
      <c r="N7" s="26"/>
      <c r="O7" s="26"/>
      <c r="P7" s="26"/>
      <c r="Q7" s="26"/>
      <c r="R7" s="26"/>
    </row>
    <row r="8" spans="2:18" ht="18" customHeight="1" thickBot="1" x14ac:dyDescent="0.35">
      <c r="B8" s="113"/>
      <c r="C8" s="114"/>
      <c r="D8" s="24"/>
      <c r="E8" s="118"/>
      <c r="F8" s="119"/>
      <c r="G8" s="120"/>
      <c r="L8" s="26"/>
      <c r="M8" s="26"/>
      <c r="N8" s="26"/>
      <c r="O8" s="26"/>
      <c r="P8" s="26"/>
      <c r="Q8" s="26"/>
      <c r="R8" s="26"/>
    </row>
    <row r="9" spans="2:18" ht="18" customHeight="1" thickBot="1" x14ac:dyDescent="0.35">
      <c r="B9" s="111" t="s">
        <v>5</v>
      </c>
      <c r="C9" s="112"/>
      <c r="D9" s="25"/>
      <c r="E9" s="118"/>
      <c r="F9" s="119"/>
      <c r="G9" s="120"/>
      <c r="L9" s="26"/>
      <c r="M9" s="26"/>
      <c r="N9" s="26"/>
      <c r="O9" s="26"/>
      <c r="P9" s="26"/>
      <c r="Q9" s="26"/>
      <c r="R9" s="26"/>
    </row>
    <row r="10" spans="2:18" ht="18" customHeight="1" thickBot="1" x14ac:dyDescent="0.35">
      <c r="B10" s="113"/>
      <c r="C10" s="114"/>
      <c r="E10" s="118"/>
      <c r="F10" s="119"/>
      <c r="G10" s="120"/>
      <c r="L10" s="26"/>
      <c r="M10" s="26"/>
      <c r="N10" s="26"/>
      <c r="O10" s="26"/>
      <c r="P10" s="26"/>
      <c r="Q10" s="26"/>
      <c r="R10" s="26"/>
    </row>
    <row r="11" spans="2:18" ht="18" customHeight="1" thickBot="1" x14ac:dyDescent="0.35">
      <c r="B11" s="111" t="s">
        <v>6</v>
      </c>
      <c r="C11" s="112"/>
      <c r="E11" s="118"/>
      <c r="F11" s="119"/>
      <c r="G11" s="120"/>
      <c r="L11" s="26"/>
      <c r="M11" s="26"/>
      <c r="N11" s="26"/>
      <c r="O11" s="26"/>
      <c r="P11" s="26"/>
      <c r="Q11" s="26"/>
      <c r="R11" s="26"/>
    </row>
    <row r="12" spans="2:18" ht="18" customHeight="1" thickBot="1" x14ac:dyDescent="0.35">
      <c r="B12" s="113"/>
      <c r="C12" s="114"/>
      <c r="D12" s="24"/>
      <c r="E12" s="118"/>
      <c r="F12" s="119"/>
      <c r="G12" s="120"/>
    </row>
    <row r="13" spans="2:18" ht="18" customHeight="1" thickBot="1" x14ac:dyDescent="0.35">
      <c r="B13" s="111" t="s">
        <v>96</v>
      </c>
      <c r="C13" s="112"/>
      <c r="E13" s="118"/>
      <c r="F13" s="119"/>
      <c r="G13" s="120"/>
    </row>
    <row r="14" spans="2:18" ht="18" customHeight="1" thickBot="1" x14ac:dyDescent="0.35">
      <c r="B14" s="113"/>
      <c r="C14" s="114"/>
      <c r="D14" s="24"/>
      <c r="E14" s="118"/>
      <c r="F14" s="119"/>
      <c r="G14" s="120"/>
    </row>
    <row r="15" spans="2:18" ht="18" customHeight="1" thickBot="1" x14ac:dyDescent="0.35">
      <c r="B15" s="111" t="s">
        <v>52</v>
      </c>
      <c r="C15" s="112"/>
      <c r="E15" s="118"/>
      <c r="F15" s="119"/>
      <c r="G15" s="120"/>
    </row>
    <row r="16" spans="2:18" ht="18" customHeight="1" thickBot="1" x14ac:dyDescent="0.35">
      <c r="B16" s="113"/>
      <c r="C16" s="114"/>
      <c r="D16" s="24"/>
      <c r="E16" s="121"/>
      <c r="F16" s="122"/>
      <c r="G16" s="123"/>
    </row>
    <row r="17" spans="5:15" ht="15" customHeight="1" x14ac:dyDescent="0.3"/>
    <row r="30" spans="5:15" ht="15" thickBot="1" x14ac:dyDescent="0.35"/>
    <row r="31" spans="5:15" ht="14.4" customHeight="1" x14ac:dyDescent="0.3">
      <c r="E31" s="96" t="s">
        <v>47</v>
      </c>
      <c r="F31" s="97"/>
      <c r="G31" s="98"/>
      <c r="L31" s="81" t="s">
        <v>48</v>
      </c>
      <c r="M31" s="82"/>
      <c r="N31" s="82"/>
      <c r="O31" s="83"/>
    </row>
    <row r="32" spans="5:15" ht="14.4" customHeight="1" x14ac:dyDescent="0.3">
      <c r="E32" s="99"/>
      <c r="F32" s="100"/>
      <c r="G32" s="101"/>
      <c r="L32" s="84"/>
      <c r="M32" s="85"/>
      <c r="N32" s="85"/>
      <c r="O32" s="86"/>
    </row>
    <row r="33" spans="5:15" ht="14.4" customHeight="1" x14ac:dyDescent="0.3">
      <c r="E33" s="99"/>
      <c r="F33" s="100"/>
      <c r="G33" s="101"/>
      <c r="L33" s="84"/>
      <c r="M33" s="85"/>
      <c r="N33" s="85"/>
      <c r="O33" s="86"/>
    </row>
    <row r="34" spans="5:15" ht="15" customHeight="1" thickBot="1" x14ac:dyDescent="0.35">
      <c r="E34" s="102"/>
      <c r="F34" s="103"/>
      <c r="G34" s="104"/>
      <c r="L34" s="87"/>
      <c r="M34" s="88"/>
      <c r="N34" s="88"/>
      <c r="O34" s="89"/>
    </row>
  </sheetData>
  <mergeCells count="10">
    <mergeCell ref="L31:O34"/>
    <mergeCell ref="L3:R4"/>
    <mergeCell ref="E31:G34"/>
    <mergeCell ref="I2:J4"/>
    <mergeCell ref="B7:C8"/>
    <mergeCell ref="E7:G16"/>
    <mergeCell ref="B9:C10"/>
    <mergeCell ref="B11:C12"/>
    <mergeCell ref="B15:C16"/>
    <mergeCell ref="B13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IoT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Taylor</dc:creator>
  <cp:lastModifiedBy>Banibrata Manna</cp:lastModifiedBy>
  <dcterms:created xsi:type="dcterms:W3CDTF">2015-06-05T18:17:20Z</dcterms:created>
  <dcterms:modified xsi:type="dcterms:W3CDTF">2025-06-15T15:15:12Z</dcterms:modified>
</cp:coreProperties>
</file>